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saabloyapc-my.sharepoint.com/personal/sylvia_tan_assaabloy_com/Documents/Desktop/桌面/Mexicali/"/>
    </mc:Choice>
  </mc:AlternateContent>
  <xr:revisionPtr revIDLastSave="0" documentId="8_{6F5B24E2-D412-45C6-8288-6FD4AD4B8005}" xr6:coauthVersionLast="47" xr6:coauthVersionMax="47" xr10:uidLastSave="{00000000-0000-0000-0000-000000000000}"/>
  <bookViews>
    <workbookView xWindow="28680" yWindow="-120" windowWidth="29040" windowHeight="15720" xr2:uid="{6C7D897D-F938-468C-B0F2-1CC9931F31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8" i="1" l="1"/>
  <c r="C17" i="1"/>
  <c r="B17" i="1"/>
  <c r="G16" i="1"/>
  <c r="G17" i="1" s="1"/>
  <c r="F16" i="1"/>
  <c r="F17" i="1" s="1"/>
  <c r="E16" i="1"/>
  <c r="E18" i="1" s="1"/>
  <c r="D16" i="1"/>
  <c r="D17" i="1" s="1"/>
  <c r="C16" i="1"/>
  <c r="C18" i="1" s="1"/>
  <c r="B16" i="1"/>
  <c r="E17" i="1" l="1"/>
</calcChain>
</file>

<file path=xl/sharedStrings.xml><?xml version="1.0" encoding="utf-8"?>
<sst xmlns="http://schemas.openxmlformats.org/spreadsheetml/2006/main" count="23" uniqueCount="19">
  <si>
    <t>27639-003</t>
    <phoneticPr fontId="3" type="noConversion"/>
  </si>
  <si>
    <t>63251-002</t>
  </si>
  <si>
    <t>63252-002</t>
  </si>
  <si>
    <t>Month</t>
    <phoneticPr fontId="3" type="noConversion"/>
  </si>
  <si>
    <t>2025 Volumne</t>
    <phoneticPr fontId="3" type="noConversion"/>
  </si>
  <si>
    <t>2026 Volumne</t>
    <phoneticPr fontId="3" type="noConversion"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</si>
  <si>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</si>
  <si>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</si>
  <si>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</si>
  <si>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</si>
  <si>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</si>
  <si>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</si>
  <si>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</si>
  <si>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</si>
  <si>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</si>
  <si>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</si>
  <si>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</si>
  <si>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</si>
  <si>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Average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</si>
</sst>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\$#,##0;\-\$#,##0"/>
  </numFmts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Calibri"/>
      <family val="2"/>
    </font>
    <font>
      <sz val="9"/>
      <name val="等线"/>
      <family val="2"/>
      <charset val="134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4" fillId="2" borderId="0" xfId="0" applyFont="1" applyFill="1">
      <alignment vertical="center"/>
    </xf>
    <xf numFmtId="176" fontId="4" fillId="2" borderId="0" xfId="0" applyNumberFormat="1" applyFont="1" applyFill="1" applyAlignment="1">
      <alignment horizontal="center" vertical="center"/>
    </xf>
    <xf numFmtId="9" fontId="2" fillId="0" borderId="0" xfId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428AE-6E84-4F6C-8E75-A54164CBFBEB}">
  <dimension ref="A1:G18"/>
  <sheetViews>
    <sheetView tabSelected="1" workbookViewId="0"/>
  </sheetViews>
  <sheetFormatPr defaultRowHeight="14.25" x14ac:dyDescent="0.2"/>
  <cols>
    <col min="2" max="7" width="12.75" bestFit="1" customWidth="1"/>
  </cols>
  <sheetData>
    <row r="1" spans="1:7" ht="15" x14ac:dyDescent="0.2">
      <c r="A1" s="1"/>
      <c r="B1" s="2"/>
      <c r="C1" s="2"/>
      <c r="D1" s="2"/>
      <c r="E1" s="2"/>
      <c r="F1" s="2"/>
      <c r="G1" s="2"/>
    </row>
    <row r="2" spans="1:7" ht="15" x14ac:dyDescent="0.2">
      <c r="A2" s="1"/>
      <c r="B2" s="3" t="s">
        <v>0</v>
      </c>
      <c r="C2" s="3"/>
      <c r="D2" s="3" t="s">
        <v>1</v>
      </c>
      <c r="E2" s="3"/>
      <c r="F2" s="3" t="s">
        <v>2</v>
      </c>
      <c r="G2" s="3"/>
    </row>
    <row r="3" spans="1:7" ht="15" x14ac:dyDescent="0.2">
      <c r="A3" s="1" t="s">
        <v>3</v>
      </c>
      <c r="B3" s="2" t="s">
        <v>4</v>
      </c>
      <c r="C3" s="2" t="s">
        <v>5</v>
      </c>
      <c r="D3" s="2" t="s">
        <v>4</v>
      </c>
      <c r="E3" s="2" t="s">
        <v>5</v>
      </c>
      <c r="F3" s="2" t="s">
        <v>4</v>
      </c>
      <c r="G3" s="2" t="s">
        <v>5</v>
      </c>
    </row>
    <row r="4" spans="1:7" ht="15" x14ac:dyDescent="0.2">
      <c r="A4" s="1" t="s">
        <v>6</v>
      </c>
      <c r="B4" s="4">
        <v>2694000</v>
      </c>
      <c r="C4" s="4">
        <v>3120000</v>
      </c>
      <c r="D4" s="4">
        <v>237000</v>
      </c>
      <c r="E4" s="4">
        <v>306000</v>
      </c>
      <c r="F4" s="4">
        <v>252000</v>
      </c>
      <c r="G4" s="4">
        <v>330000</v>
      </c>
    </row>
    <row r="5" spans="1:7" ht="15" x14ac:dyDescent="0.2">
      <c r="A5" s="1" t="s">
        <v>7</v>
      </c>
      <c r="B5" s="4">
        <v>960000</v>
      </c>
      <c r="C5" s="4">
        <v>1500000</v>
      </c>
      <c r="D5" s="4">
        <v>81000</v>
      </c>
      <c r="E5" s="4">
        <v>72000</v>
      </c>
      <c r="F5" s="4">
        <v>90000</v>
      </c>
      <c r="G5" s="4">
        <v>57000</v>
      </c>
    </row>
    <row r="6" spans="1:7" ht="15" x14ac:dyDescent="0.2">
      <c r="A6" s="1" t="s">
        <v>8</v>
      </c>
      <c r="B6" s="4">
        <v>0</v>
      </c>
      <c r="C6" s="4">
        <v>720000</v>
      </c>
      <c r="D6" s="4">
        <v>100200</v>
      </c>
      <c r="E6" s="4">
        <v>135000</v>
      </c>
      <c r="F6" s="4">
        <v>105000</v>
      </c>
      <c r="G6" s="4">
        <v>153000</v>
      </c>
    </row>
    <row r="7" spans="1:7" ht="15" x14ac:dyDescent="0.2">
      <c r="A7" s="1" t="s">
        <v>9</v>
      </c>
      <c r="B7" s="4">
        <v>825000</v>
      </c>
      <c r="C7" s="4">
        <v>1860000</v>
      </c>
      <c r="D7" s="4">
        <v>174000</v>
      </c>
      <c r="E7" s="4">
        <v>93000</v>
      </c>
      <c r="F7" s="4">
        <v>186000</v>
      </c>
      <c r="G7" s="4">
        <v>90000</v>
      </c>
    </row>
    <row r="8" spans="1:7" ht="15" x14ac:dyDescent="0.2">
      <c r="A8" s="1" t="s">
        <v>10</v>
      </c>
      <c r="B8" s="4">
        <v>2142000</v>
      </c>
      <c r="C8" s="4">
        <v>480000</v>
      </c>
      <c r="D8" s="4">
        <v>195000</v>
      </c>
      <c r="E8" s="4">
        <v>102000</v>
      </c>
      <c r="F8" s="4">
        <v>213000</v>
      </c>
      <c r="G8" s="4">
        <v>126000</v>
      </c>
    </row>
    <row r="9" spans="1:7" ht="15" x14ac:dyDescent="0.2">
      <c r="A9" s="1" t="s">
        <v>11</v>
      </c>
      <c r="B9" s="4">
        <v>2520000</v>
      </c>
      <c r="C9" s="4">
        <v>1500000</v>
      </c>
      <c r="D9" s="4">
        <v>87000</v>
      </c>
      <c r="E9" s="4">
        <v>148200</v>
      </c>
      <c r="F9" s="4">
        <v>90000</v>
      </c>
      <c r="G9" s="4">
        <v>180000</v>
      </c>
    </row>
    <row r="10" spans="1:7" ht="15" x14ac:dyDescent="0.2">
      <c r="A10" s="1" t="s">
        <v>12</v>
      </c>
      <c r="B10" s="4">
        <v>1440000</v>
      </c>
      <c r="C10" s="4">
        <v>1320000</v>
      </c>
      <c r="D10" s="4">
        <v>228000</v>
      </c>
      <c r="E10" s="4">
        <v>139800</v>
      </c>
      <c r="F10" s="4">
        <v>243000</v>
      </c>
      <c r="G10" s="4">
        <v>138000</v>
      </c>
    </row>
    <row r="11" spans="1:7" ht="15" x14ac:dyDescent="0.2">
      <c r="A11" s="1" t="s">
        <v>13</v>
      </c>
      <c r="B11" s="4">
        <v>660000</v>
      </c>
      <c r="C11" s="4">
        <v>690000</v>
      </c>
      <c r="D11" s="4">
        <v>108000</v>
      </c>
      <c r="E11" s="4">
        <v>93000</v>
      </c>
      <c r="F11" s="4">
        <v>111000</v>
      </c>
      <c r="G11" s="4">
        <v>108000</v>
      </c>
    </row>
    <row r="12" spans="1:7" ht="15" x14ac:dyDescent="0.2">
      <c r="A12" s="1" t="s">
        <v>14</v>
      </c>
      <c r="B12" s="4">
        <v>1140000</v>
      </c>
      <c r="C12" s="4">
        <v>660000</v>
      </c>
      <c r="D12" s="4">
        <v>165000</v>
      </c>
      <c r="E12" s="4"/>
      <c r="F12" s="4">
        <v>180000</v>
      </c>
      <c r="G12" s="4"/>
    </row>
    <row r="13" spans="1:7" ht="15" x14ac:dyDescent="0.2">
      <c r="A13" s="1" t="s">
        <v>15</v>
      </c>
      <c r="B13" s="4">
        <v>240000</v>
      </c>
      <c r="C13" s="4">
        <v>540000</v>
      </c>
      <c r="D13" s="4">
        <v>82200</v>
      </c>
      <c r="E13" s="4">
        <v>72000</v>
      </c>
      <c r="F13" s="4">
        <v>85200</v>
      </c>
      <c r="G13" s="4">
        <v>48000</v>
      </c>
    </row>
    <row r="14" spans="1:7" ht="15" x14ac:dyDescent="0.2">
      <c r="A14" s="1" t="s">
        <v>16</v>
      </c>
      <c r="B14" s="4">
        <v>105000</v>
      </c>
      <c r="C14" s="4">
        <v>1140000</v>
      </c>
      <c r="D14" s="4">
        <v>30000</v>
      </c>
      <c r="E14" s="4">
        <v>102000</v>
      </c>
      <c r="F14" s="4">
        <v>33000</v>
      </c>
      <c r="G14" s="4">
        <v>108000</v>
      </c>
    </row>
    <row r="15" spans="1:7" ht="15" x14ac:dyDescent="0.2">
      <c r="A15" s="1" t="s">
        <v>17</v>
      </c>
      <c r="B15" s="4">
        <v>915000</v>
      </c>
      <c r="C15" s="4">
        <v>1650000</v>
      </c>
      <c r="D15" s="4">
        <v>127800</v>
      </c>
      <c r="E15" s="4">
        <v>126000</v>
      </c>
      <c r="F15" s="4">
        <v>141000</v>
      </c>
      <c r="G15" s="4">
        <v>120000</v>
      </c>
    </row>
    <row r="16" spans="1:7" ht="15" x14ac:dyDescent="0.2">
      <c r="A16" s="1"/>
      <c r="B16" s="4">
        <f>SUM(B4:B15)</f>
        <v>13641000</v>
      </c>
      <c r="C16" s="4">
        <f>SUM(C4:C15)</f>
        <v>15180000</v>
      </c>
      <c r="D16" s="4">
        <f>SUM(D4:D15)</f>
        <v>1615200</v>
      </c>
      <c r="E16" s="4">
        <f>SUM(E4:E15)</f>
        <v>1389000</v>
      </c>
      <c r="F16" s="4">
        <f>SUM(F4:F15)</f>
        <v>1729200</v>
      </c>
      <c r="G16" s="4">
        <f>SUM(G4:G15)</f>
        <v>1458000</v>
      </c>
    </row>
    <row r="17" spans="1:7" ht="15" x14ac:dyDescent="0.2">
      <c r="A17" s="5" t="s">
        <v>18</v>
      </c>
      <c r="B17" s="6">
        <f>+B16/12</f>
        <v>1136750</v>
      </c>
      <c r="C17" s="6">
        <f>+C16/12</f>
        <v>1265000</v>
      </c>
      <c r="D17" s="6">
        <f>+D16/12</f>
        <v>134600</v>
      </c>
      <c r="E17" s="6">
        <f>+E16/12</f>
        <v>115750</v>
      </c>
      <c r="F17" s="6">
        <f>+F16/12</f>
        <v>144100</v>
      </c>
      <c r="G17" s="6">
        <f>+G16/12</f>
        <v>121500</v>
      </c>
    </row>
    <row r="18" spans="1:7" ht="15" x14ac:dyDescent="0.2">
      <c r="A18" s="1"/>
      <c r="B18" s="2"/>
      <c r="C18" s="7">
        <f>+C16/B16-1</f>
        <v>0.11282164064218159</v>
      </c>
      <c r="D18" s="8"/>
      <c r="E18" s="7">
        <f>+E16/D16-1</f>
        <v>-0.14004457652303115</v>
      </c>
      <c r="F18" s="8"/>
      <c r="G18" s="7">
        <f>+G16/F16-1</f>
        <v>-0.1568355308813324</v>
      </c>
    </row>
  </sheetData>
  <mergeCells count="3">
    <mergeCell ref="B2:C2"/>
    <mergeCell ref="D2:E2"/>
    <mergeCell ref="F2:G2"/>
  </mergeCells>
  <phoneticPr fontId="3" type="noConversion"/>
  <pageMargins left="0.7" right="0.7" top="0.75" bottom="0.75" header="0.3" footer="0.3"/>
  <headerFooter>
    <oddFooter>&amp;L_x000D_&amp;1#&amp;"Arial"&amp;7&amp;KDAD4CE Public</oddFooter>
  </headerFooter>
</worksheet>
</file>

<file path=docMetadata/LabelInfo.xml><?xml version="1.0" encoding="utf-8"?>
<clbl:labelList xmlns:clbl="http://schemas.microsoft.com/office/2020/mipLabelMetadata">
  <clbl:label id="{4d12be1c-d27c-4ec9-b239-ad171082eb1d}" enabled="1" method="Privileged" siteId="{f0bdc1c9-5148-4f86-ac40-edd976e1814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Tan, Sylvia</dc:creator>
  <cp:lastModifiedBy>Tan, Sylvia</cp:lastModifiedBy>
  <dcterms:created xsi:type="dcterms:W3CDTF">2026-08-12T06:28:52Z</dcterms:created>
  <dcterms:modified xsi:type="dcterms:W3CDTF">2026-08-12T06:29:30Z</dcterms:modified>
</cp:coreProperties>
</file>